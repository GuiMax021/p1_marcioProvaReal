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ervo" sheetId="1" state="visible" r:id="rId3"/>
    <sheet name="Resumo" sheetId="2" state="visible" r:id="rId4"/>
  </sheets>
  <definedNames>
    <definedName function="false" hidden="true" localSheetId="0" name="_xlnm._FilterDatabase" vbProcedure="false">Acervo!$A$1:$I$31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<sst xmlns="http://schemas.openxmlformats.org/spreadsheetml/2006/main" count="298" uniqueCount="185">
  <si>
    <t xml:space="preserve">Codigo</t>
  </si>
  <si>
    <t xml:space="preserve">Titulo</t>
  </si>
  <si>
    <t xml:space="preserve">Autor</t>
  </si>
  <si>
    <t xml:space="preserve">Categoria_Codigo</t>
  </si>
  <si>
    <t xml:space="preserve">Categoria_Nome</t>
  </si>
  <si>
    <t xml:space="preserve">Tipo_Acervo</t>
  </si>
  <si>
    <t xml:space="preserve">Ano</t>
  </si>
  <si>
    <t xml:space="preserve">Editora</t>
  </si>
  <si>
    <t xml:space="preserve">Localizacao</t>
  </si>
  <si>
    <t xml:space="preserve">001</t>
  </si>
  <si>
    <t xml:space="preserve">Enciclopedia Geral do Conhecimento</t>
  </si>
  <si>
    <t xml:space="preserve">Equipe Editorial</t>
  </si>
  <si>
    <t xml:space="preserve">000</t>
  </si>
  <si>
    <t xml:space="preserve">Generalidades e Informacao</t>
  </si>
  <si>
    <t xml:space="preserve">Fisico</t>
  </si>
  <si>
    <t xml:space="preserve">2018</t>
  </si>
  <si>
    <t xml:space="preserve">Editora Referencia</t>
  </si>
  <si>
    <t xml:space="preserve">Estante A1</t>
  </si>
  <si>
    <t xml:space="preserve">002</t>
  </si>
  <si>
    <t xml:space="preserve">Manual de Biblioteconomia</t>
  </si>
  <si>
    <t xml:space="preserve">Maria Fernandes</t>
  </si>
  <si>
    <t xml:space="preserve">Digital</t>
  </si>
  <si>
    <t xml:space="preserve">2021</t>
  </si>
  <si>
    <t xml:space="preserve">Editora Acadêmica</t>
  </si>
  <si>
    <t xml:space="preserve">Repositorio Digital</t>
  </si>
  <si>
    <t xml:space="preserve">003</t>
  </si>
  <si>
    <t xml:space="preserve">O Mundo das Enciclopedias</t>
  </si>
  <si>
    <t xml:space="preserve">Carlos Bittencourt</t>
  </si>
  <si>
    <t xml:space="preserve">2015</t>
  </si>
  <si>
    <t xml:space="preserve">Editora Saber</t>
  </si>
  <si>
    <t xml:space="preserve">Estante A2</t>
  </si>
  <si>
    <t xml:space="preserve">004</t>
  </si>
  <si>
    <t xml:space="preserve">Etica para um Mundo em Mudanca</t>
  </si>
  <si>
    <t xml:space="preserve">Jose Ramos</t>
  </si>
  <si>
    <t xml:space="preserve">100</t>
  </si>
  <si>
    <t xml:space="preserve">Filosofia e Psicologia</t>
  </si>
  <si>
    <t xml:space="preserve">2017</t>
  </si>
  <si>
    <t xml:space="preserve">Editora Reflexao</t>
  </si>
  <si>
    <t xml:space="preserve">Estante B1</t>
  </si>
  <si>
    <t xml:space="preserve">005</t>
  </si>
  <si>
    <t xml:space="preserve">Introducao a Logica Formal</t>
  </si>
  <si>
    <t xml:space="preserve">Ana Paula Costa</t>
  </si>
  <si>
    <t xml:space="preserve">2020</t>
  </si>
  <si>
    <t xml:space="preserve">Editora Universitaria</t>
  </si>
  <si>
    <t xml:space="preserve">006</t>
  </si>
  <si>
    <t xml:space="preserve">A Mente Humana - Ensaios</t>
  </si>
  <si>
    <t xml:space="preserve">Pedro Almeida</t>
  </si>
  <si>
    <t xml:space="preserve">2019</t>
  </si>
  <si>
    <t xml:space="preserve">Estante B2</t>
  </si>
  <si>
    <t xml:space="preserve">007</t>
  </si>
  <si>
    <t xml:space="preserve">Historia das Religioes</t>
  </si>
  <si>
    <t xml:space="preserve">Fatima Souza</t>
  </si>
  <si>
    <t xml:space="preserve">200</t>
  </si>
  <si>
    <t xml:space="preserve">Religiao e Teologia</t>
  </si>
  <si>
    <t xml:space="preserve">2016</t>
  </si>
  <si>
    <t xml:space="preserve">Editora Fe</t>
  </si>
  <si>
    <t xml:space="preserve">Estante C1</t>
  </si>
  <si>
    <t xml:space="preserve">008</t>
  </si>
  <si>
    <t xml:space="preserve">Mitologia Grega Comentada</t>
  </si>
  <si>
    <t xml:space="preserve">Rui Teixeira</t>
  </si>
  <si>
    <t xml:space="preserve">Editora Classica</t>
  </si>
  <si>
    <t xml:space="preserve">009</t>
  </si>
  <si>
    <t xml:space="preserve">Teologia Contemporanea</t>
  </si>
  <si>
    <t xml:space="preserve">Beatriz Lima</t>
  </si>
  <si>
    <t xml:space="preserve">2014</t>
  </si>
  <si>
    <t xml:space="preserve">Estante C2</t>
  </si>
  <si>
    <t xml:space="preserve">010</t>
  </si>
  <si>
    <t xml:space="preserve">Fundamentos de Ciencia Politica</t>
  </si>
  <si>
    <t xml:space="preserve">Marcelo Duarte</t>
  </si>
  <si>
    <t xml:space="preserve">300</t>
  </si>
  <si>
    <t xml:space="preserve">Ciencias Sociais e Direito</t>
  </si>
  <si>
    <t xml:space="preserve">Editora Juridica</t>
  </si>
  <si>
    <t xml:space="preserve">Estante D1</t>
  </si>
  <si>
    <t xml:space="preserve">011</t>
  </si>
  <si>
    <t xml:space="preserve">Direito Constitucional Esquematizado</t>
  </si>
  <si>
    <t xml:space="preserve">Juliana Prado</t>
  </si>
  <si>
    <t xml:space="preserve">2022</t>
  </si>
  <si>
    <t xml:space="preserve">012</t>
  </si>
  <si>
    <t xml:space="preserve">Sociologia da Educacao</t>
  </si>
  <si>
    <t xml:space="preserve">Renato Vieira</t>
  </si>
  <si>
    <t xml:space="preserve">Editora Educar</t>
  </si>
  <si>
    <t xml:space="preserve">Estante D2</t>
  </si>
  <si>
    <t xml:space="preserve">013</t>
  </si>
  <si>
    <t xml:space="preserve">Gramatica da Lingua Portuguesa</t>
  </si>
  <si>
    <t xml:space="preserve">Sonia Martins</t>
  </si>
  <si>
    <t xml:space="preserve">400</t>
  </si>
  <si>
    <t xml:space="preserve">Linguistica e Idiomas</t>
  </si>
  <si>
    <t xml:space="preserve">Editora Linguas</t>
  </si>
  <si>
    <t xml:space="preserve">Estante E1</t>
  </si>
  <si>
    <t xml:space="preserve">014</t>
  </si>
  <si>
    <t xml:space="preserve">Dicionario de Linguistica Aplicada</t>
  </si>
  <si>
    <t xml:space="preserve">Hugo Nascimento</t>
  </si>
  <si>
    <t xml:space="preserve">015</t>
  </si>
  <si>
    <t xml:space="preserve">Estudos Comparados de Idiomas</t>
  </si>
  <si>
    <t xml:space="preserve">Camila Rocha</t>
  </si>
  <si>
    <t xml:space="preserve">Estante E2</t>
  </si>
  <si>
    <t xml:space="preserve">016</t>
  </si>
  <si>
    <t xml:space="preserve">Calculo Diferencial e Integral</t>
  </si>
  <si>
    <t xml:space="preserve">Eduardo Farias</t>
  </si>
  <si>
    <t xml:space="preserve">500</t>
  </si>
  <si>
    <t xml:space="preserve">Ciencias Puras</t>
  </si>
  <si>
    <t xml:space="preserve">Editora Exatas</t>
  </si>
  <si>
    <t xml:space="preserve">Estante F1</t>
  </si>
  <si>
    <t xml:space="preserve">017</t>
  </si>
  <si>
    <t xml:space="preserve">Introducao a Astronomia Moderna</t>
  </si>
  <si>
    <t xml:space="preserve">Larissa Gomes</t>
  </si>
  <si>
    <t xml:space="preserve">018</t>
  </si>
  <si>
    <t xml:space="preserve">Quimica Geral Aplicada</t>
  </si>
  <si>
    <t xml:space="preserve">Thiago Barros</t>
  </si>
  <si>
    <t xml:space="preserve">Estante F2</t>
  </si>
  <si>
    <t xml:space="preserve">019</t>
  </si>
  <si>
    <t xml:space="preserve">Manual de Engenharia Civil</t>
  </si>
  <si>
    <t xml:space="preserve">Roberto Cardoso</t>
  </si>
  <si>
    <t xml:space="preserve">600</t>
  </si>
  <si>
    <t xml:space="preserve">Ciencias Aplicadas</t>
  </si>
  <si>
    <t xml:space="preserve">Editora Tecnica</t>
  </si>
  <si>
    <t xml:space="preserve">Estante G1</t>
  </si>
  <si>
    <t xml:space="preserve">020</t>
  </si>
  <si>
    <t xml:space="preserve">Medicina Preventiva na Pratica</t>
  </si>
  <si>
    <t xml:space="preserve">Patricia Alves</t>
  </si>
  <si>
    <t xml:space="preserve">Editora Saude</t>
  </si>
  <si>
    <t xml:space="preserve">021</t>
  </si>
  <si>
    <t xml:space="preserve">Agricultura Sustentavel</t>
  </si>
  <si>
    <t xml:space="preserve">Vinicius Moraes</t>
  </si>
  <si>
    <t xml:space="preserve">Editora Rural</t>
  </si>
  <si>
    <t xml:space="preserve">Estante G2</t>
  </si>
  <si>
    <t xml:space="preserve">022</t>
  </si>
  <si>
    <t xml:space="preserve">Historia da Pintura Ocidental</t>
  </si>
  <si>
    <t xml:space="preserve">Isabela Correia</t>
  </si>
  <si>
    <t xml:space="preserve">700</t>
  </si>
  <si>
    <t xml:space="preserve">Artes e Recreacao</t>
  </si>
  <si>
    <t xml:space="preserve">Editora Arte</t>
  </si>
  <si>
    <t xml:space="preserve">Estante H1</t>
  </si>
  <si>
    <t xml:space="preserve">023</t>
  </si>
  <si>
    <t xml:space="preserve">Fundamentos de Arquitetura Moderna</t>
  </si>
  <si>
    <t xml:space="preserve">Diego Santana</t>
  </si>
  <si>
    <t xml:space="preserve">024</t>
  </si>
  <si>
    <t xml:space="preserve">Musica Popular Brasileira</t>
  </si>
  <si>
    <t xml:space="preserve">Fernanda Ribeiro</t>
  </si>
  <si>
    <t xml:space="preserve">Estante H2</t>
  </si>
  <si>
    <t xml:space="preserve">025</t>
  </si>
  <si>
    <t xml:space="preserve">Contos Completos</t>
  </si>
  <si>
    <t xml:space="preserve">Machado de Assis</t>
  </si>
  <si>
    <t xml:space="preserve">800</t>
  </si>
  <si>
    <t xml:space="preserve">Literatura</t>
  </si>
  <si>
    <t xml:space="preserve">1899</t>
  </si>
  <si>
    <t xml:space="preserve">Estante I1</t>
  </si>
  <si>
    <t xml:space="preserve">026</t>
  </si>
  <si>
    <t xml:space="preserve">Antologia da Poesia Brasileira</t>
  </si>
  <si>
    <t xml:space="preserve">Varios Autores</t>
  </si>
  <si>
    <t xml:space="preserve">Editora Letras</t>
  </si>
  <si>
    <t xml:space="preserve">027</t>
  </si>
  <si>
    <t xml:space="preserve">Cronicas do Cotidiano</t>
  </si>
  <si>
    <t xml:space="preserve">Rubem Alves</t>
  </si>
  <si>
    <t xml:space="preserve">2005</t>
  </si>
  <si>
    <t xml:space="preserve">Estante I2</t>
  </si>
  <si>
    <t xml:space="preserve">028</t>
  </si>
  <si>
    <t xml:space="preserve">Historia Geral da Civilizacao</t>
  </si>
  <si>
    <t xml:space="preserve">Nelson Ferreira</t>
  </si>
  <si>
    <t xml:space="preserve">900</t>
  </si>
  <si>
    <t xml:space="preserve">Historia e Geografia</t>
  </si>
  <si>
    <t xml:space="preserve">Editora Historica</t>
  </si>
  <si>
    <t xml:space="preserve">Estante J1</t>
  </si>
  <si>
    <t xml:space="preserve">029</t>
  </si>
  <si>
    <t xml:space="preserve">Geografia Fisica do Brasil</t>
  </si>
  <si>
    <t xml:space="preserve">Andrea Machado</t>
  </si>
  <si>
    <t xml:space="preserve">030</t>
  </si>
  <si>
    <t xml:space="preserve">Biografias que Marcaram a Historia</t>
  </si>
  <si>
    <t xml:space="preserve">Olavo Pires</t>
  </si>
  <si>
    <t xml:space="preserve">Estante J2</t>
  </si>
  <si>
    <t xml:space="preserve">Resumo do Acervo</t>
  </si>
  <si>
    <t xml:space="preserve">Tipo de Acervo</t>
  </si>
  <si>
    <t xml:space="preserve">Quantidade</t>
  </si>
  <si>
    <t xml:space="preserve">Total</t>
  </si>
  <si>
    <t xml:space="preserve">Categoria (CDD)</t>
  </si>
  <si>
    <t xml:space="preserve">000 - Generalidades e Informacao</t>
  </si>
  <si>
    <t xml:space="preserve">100 - Filosofia e Psicologia</t>
  </si>
  <si>
    <t xml:space="preserve">200 - Religiao e Teologia</t>
  </si>
  <si>
    <t xml:space="preserve">300 - Ciencias Sociais e Direito</t>
  </si>
  <si>
    <t xml:space="preserve">400 - Linguistica e Idiomas</t>
  </si>
  <si>
    <t xml:space="preserve">500 - Ciencias Puras (Exatas e Naturais)</t>
  </si>
  <si>
    <t xml:space="preserve">600 - Ciencias Aplicadas (Tecnologia)</t>
  </si>
  <si>
    <t xml:space="preserve">700 - Artes e Recreacao</t>
  </si>
  <si>
    <t xml:space="preserve">800 - Literatura</t>
  </si>
  <si>
    <t xml:space="preserve">900 - Historia e Geografia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</si>
</sst>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12</v>
      </c>
      <c r="E3" s="2" t="s">
        <v>13</v>
      </c>
      <c r="F3" s="2" t="s">
        <v>21</v>
      </c>
      <c r="G3" s="2" t="s">
        <v>22</v>
      </c>
      <c r="H3" s="2" t="s">
        <v>23</v>
      </c>
      <c r="I3" s="2" t="s">
        <v>24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12</v>
      </c>
      <c r="E4" s="2" t="s">
        <v>13</v>
      </c>
      <c r="F4" s="2" t="s">
        <v>14</v>
      </c>
      <c r="G4" s="2" t="s">
        <v>28</v>
      </c>
      <c r="H4" s="2" t="s">
        <v>29</v>
      </c>
      <c r="I4" s="2" t="s">
        <v>30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14</v>
      </c>
      <c r="G5" s="2" t="s">
        <v>36</v>
      </c>
      <c r="H5" s="2" t="s">
        <v>37</v>
      </c>
      <c r="I5" s="2" t="s">
        <v>38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41</v>
      </c>
      <c r="D6" s="2" t="s">
        <v>34</v>
      </c>
      <c r="E6" s="2" t="s">
        <v>35</v>
      </c>
      <c r="F6" s="2" t="s">
        <v>21</v>
      </c>
      <c r="G6" s="2" t="s">
        <v>42</v>
      </c>
      <c r="H6" s="2" t="s">
        <v>43</v>
      </c>
      <c r="I6" s="2" t="s">
        <v>24</v>
      </c>
    </row>
    <row r="7" customFormat="false" ht="15" hidden="false" customHeight="false" outlineLevel="0" collapsed="false">
      <c r="A7" s="2" t="s">
        <v>44</v>
      </c>
      <c r="B7" s="2" t="s">
        <v>45</v>
      </c>
      <c r="C7" s="2" t="s">
        <v>46</v>
      </c>
      <c r="D7" s="2" t="s">
        <v>34</v>
      </c>
      <c r="E7" s="2" t="s">
        <v>35</v>
      </c>
      <c r="F7" s="2" t="s">
        <v>14</v>
      </c>
      <c r="G7" s="2" t="s">
        <v>47</v>
      </c>
      <c r="H7" s="2" t="s">
        <v>37</v>
      </c>
      <c r="I7" s="2" t="s">
        <v>48</v>
      </c>
    </row>
    <row r="8" customFormat="false" ht="15" hidden="false" customHeight="false" outlineLevel="0" collapsed="false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14</v>
      </c>
      <c r="G8" s="2" t="s">
        <v>54</v>
      </c>
      <c r="H8" s="2" t="s">
        <v>55</v>
      </c>
      <c r="I8" s="2" t="s">
        <v>56</v>
      </c>
    </row>
    <row r="9" customFormat="false" ht="15" hidden="false" customHeight="false" outlineLevel="0" collapsed="false">
      <c r="A9" s="2" t="s">
        <v>57</v>
      </c>
      <c r="B9" s="2" t="s">
        <v>58</v>
      </c>
      <c r="C9" s="2" t="s">
        <v>59</v>
      </c>
      <c r="D9" s="2" t="s">
        <v>52</v>
      </c>
      <c r="E9" s="2" t="s">
        <v>53</v>
      </c>
      <c r="F9" s="2" t="s">
        <v>21</v>
      </c>
      <c r="G9" s="2" t="s">
        <v>47</v>
      </c>
      <c r="H9" s="2" t="s">
        <v>60</v>
      </c>
      <c r="I9" s="2" t="s">
        <v>24</v>
      </c>
    </row>
    <row r="10" customFormat="false" ht="15" hidden="false" customHeight="false" outlineLevel="0" collapsed="false">
      <c r="A10" s="2" t="s">
        <v>61</v>
      </c>
      <c r="B10" s="2" t="s">
        <v>62</v>
      </c>
      <c r="C10" s="2" t="s">
        <v>63</v>
      </c>
      <c r="D10" s="2" t="s">
        <v>52</v>
      </c>
      <c r="E10" s="2" t="s">
        <v>53</v>
      </c>
      <c r="F10" s="2" t="s">
        <v>14</v>
      </c>
      <c r="G10" s="2" t="s">
        <v>64</v>
      </c>
      <c r="H10" s="2" t="s">
        <v>55</v>
      </c>
      <c r="I10" s="2" t="s">
        <v>65</v>
      </c>
    </row>
    <row r="11" customFormat="false" ht="15" hidden="false" customHeight="false" outlineLevel="0" collapsed="false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14</v>
      </c>
      <c r="G11" s="2" t="s">
        <v>42</v>
      </c>
      <c r="H11" s="2" t="s">
        <v>71</v>
      </c>
      <c r="I11" s="2" t="s">
        <v>72</v>
      </c>
    </row>
    <row r="12" customFormat="false" ht="15" hidden="false" customHeight="false" outlineLevel="0" collapsed="false">
      <c r="A12" s="2" t="s">
        <v>73</v>
      </c>
      <c r="B12" s="2" t="s">
        <v>74</v>
      </c>
      <c r="C12" s="2" t="s">
        <v>75</v>
      </c>
      <c r="D12" s="2" t="s">
        <v>69</v>
      </c>
      <c r="E12" s="2" t="s">
        <v>70</v>
      </c>
      <c r="F12" s="2" t="s">
        <v>21</v>
      </c>
      <c r="G12" s="2" t="s">
        <v>76</v>
      </c>
      <c r="H12" s="2" t="s">
        <v>71</v>
      </c>
      <c r="I12" s="2" t="s">
        <v>24</v>
      </c>
    </row>
    <row r="13" customFormat="false" ht="15" hidden="false" customHeight="false" outlineLevel="0" collapsed="false">
      <c r="A13" s="2" t="s">
        <v>77</v>
      </c>
      <c r="B13" s="2" t="s">
        <v>78</v>
      </c>
      <c r="C13" s="2" t="s">
        <v>79</v>
      </c>
      <c r="D13" s="2" t="s">
        <v>69</v>
      </c>
      <c r="E13" s="2" t="s">
        <v>70</v>
      </c>
      <c r="F13" s="2" t="s">
        <v>14</v>
      </c>
      <c r="G13" s="2" t="s">
        <v>15</v>
      </c>
      <c r="H13" s="2" t="s">
        <v>80</v>
      </c>
      <c r="I13" s="2" t="s">
        <v>81</v>
      </c>
    </row>
    <row r="14" customFormat="false" ht="15" hidden="false" customHeight="false" outlineLevel="0" collapsed="false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14</v>
      </c>
      <c r="G14" s="2" t="s">
        <v>36</v>
      </c>
      <c r="H14" s="2" t="s">
        <v>87</v>
      </c>
      <c r="I14" s="2" t="s">
        <v>88</v>
      </c>
    </row>
    <row r="15" customFormat="false" ht="15" hidden="false" customHeight="false" outlineLevel="0" collapsed="false">
      <c r="A15" s="2" t="s">
        <v>89</v>
      </c>
      <c r="B15" s="2" t="s">
        <v>90</v>
      </c>
      <c r="C15" s="2" t="s">
        <v>91</v>
      </c>
      <c r="D15" s="2" t="s">
        <v>85</v>
      </c>
      <c r="E15" s="2" t="s">
        <v>86</v>
      </c>
      <c r="F15" s="2" t="s">
        <v>21</v>
      </c>
      <c r="G15" s="2" t="s">
        <v>22</v>
      </c>
      <c r="H15" s="2" t="s">
        <v>87</v>
      </c>
      <c r="I15" s="2" t="s">
        <v>24</v>
      </c>
    </row>
    <row r="16" customFormat="false" ht="15" hidden="false" customHeight="false" outlineLevel="0" collapsed="false">
      <c r="A16" s="2" t="s">
        <v>92</v>
      </c>
      <c r="B16" s="2" t="s">
        <v>93</v>
      </c>
      <c r="C16" s="2" t="s">
        <v>94</v>
      </c>
      <c r="D16" s="2" t="s">
        <v>85</v>
      </c>
      <c r="E16" s="2" t="s">
        <v>86</v>
      </c>
      <c r="F16" s="2" t="s">
        <v>14</v>
      </c>
      <c r="G16" s="2" t="s">
        <v>28</v>
      </c>
      <c r="H16" s="2" t="s">
        <v>87</v>
      </c>
      <c r="I16" s="2" t="s">
        <v>95</v>
      </c>
    </row>
    <row r="17" customFormat="false" ht="15" hidden="false" customHeight="false" outlineLevel="0" collapsed="false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14</v>
      </c>
      <c r="G17" s="2" t="s">
        <v>47</v>
      </c>
      <c r="H17" s="2" t="s">
        <v>101</v>
      </c>
      <c r="I17" s="2" t="s">
        <v>102</v>
      </c>
    </row>
    <row r="18" customFormat="false" ht="15" hidden="false" customHeight="false" outlineLevel="0" collapsed="false">
      <c r="A18" s="2" t="s">
        <v>103</v>
      </c>
      <c r="B18" s="2" t="s">
        <v>104</v>
      </c>
      <c r="C18" s="2" t="s">
        <v>105</v>
      </c>
      <c r="D18" s="2" t="s">
        <v>99</v>
      </c>
      <c r="E18" s="2" t="s">
        <v>100</v>
      </c>
      <c r="F18" s="2" t="s">
        <v>21</v>
      </c>
      <c r="G18" s="2" t="s">
        <v>42</v>
      </c>
      <c r="H18" s="2" t="s">
        <v>101</v>
      </c>
      <c r="I18" s="2" t="s">
        <v>24</v>
      </c>
    </row>
    <row r="19" customFormat="false" ht="15" hidden="false" customHeight="false" outlineLevel="0" collapsed="false">
      <c r="A19" s="2" t="s">
        <v>106</v>
      </c>
      <c r="B19" s="2" t="s">
        <v>107</v>
      </c>
      <c r="C19" s="2" t="s">
        <v>108</v>
      </c>
      <c r="D19" s="2" t="s">
        <v>99</v>
      </c>
      <c r="E19" s="2" t="s">
        <v>100</v>
      </c>
      <c r="F19" s="2" t="s">
        <v>14</v>
      </c>
      <c r="G19" s="2" t="s">
        <v>54</v>
      </c>
      <c r="H19" s="2" t="s">
        <v>101</v>
      </c>
      <c r="I19" s="2" t="s">
        <v>109</v>
      </c>
    </row>
    <row r="20" customFormat="false" ht="15" hidden="false" customHeight="false" outlineLevel="0" collapsed="false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14</v>
      </c>
      <c r="G20" s="2" t="s">
        <v>15</v>
      </c>
      <c r="H20" s="2" t="s">
        <v>115</v>
      </c>
      <c r="I20" s="2" t="s">
        <v>116</v>
      </c>
    </row>
    <row r="21" customFormat="false" ht="15" hidden="false" customHeight="false" outlineLevel="0" collapsed="false">
      <c r="A21" s="2" t="s">
        <v>117</v>
      </c>
      <c r="B21" s="2" t="s">
        <v>118</v>
      </c>
      <c r="C21" s="2" t="s">
        <v>119</v>
      </c>
      <c r="D21" s="2" t="s">
        <v>113</v>
      </c>
      <c r="E21" s="2" t="s">
        <v>114</v>
      </c>
      <c r="F21" s="2" t="s">
        <v>21</v>
      </c>
      <c r="G21" s="2" t="s">
        <v>76</v>
      </c>
      <c r="H21" s="2" t="s">
        <v>120</v>
      </c>
      <c r="I21" s="2" t="s">
        <v>24</v>
      </c>
    </row>
    <row r="22" customFormat="false" ht="15" hidden="false" customHeight="false" outlineLevel="0" collapsed="false">
      <c r="A22" s="2" t="s">
        <v>121</v>
      </c>
      <c r="B22" s="2" t="s">
        <v>122</v>
      </c>
      <c r="C22" s="2" t="s">
        <v>123</v>
      </c>
      <c r="D22" s="2" t="s">
        <v>113</v>
      </c>
      <c r="E22" s="2" t="s">
        <v>114</v>
      </c>
      <c r="F22" s="2" t="s">
        <v>14</v>
      </c>
      <c r="G22" s="2" t="s">
        <v>36</v>
      </c>
      <c r="H22" s="2" t="s">
        <v>124</v>
      </c>
      <c r="I22" s="2" t="s">
        <v>125</v>
      </c>
    </row>
    <row r="23" customFormat="false" ht="15" hidden="false" customHeight="false" outlineLevel="0" collapsed="false">
      <c r="A23" s="2" t="s">
        <v>126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14</v>
      </c>
      <c r="G23" s="2" t="s">
        <v>28</v>
      </c>
      <c r="H23" s="2" t="s">
        <v>131</v>
      </c>
      <c r="I23" s="2" t="s">
        <v>132</v>
      </c>
    </row>
    <row r="24" customFormat="false" ht="15" hidden="false" customHeight="false" outlineLevel="0" collapsed="false">
      <c r="A24" s="2" t="s">
        <v>133</v>
      </c>
      <c r="B24" s="2" t="s">
        <v>134</v>
      </c>
      <c r="C24" s="2" t="s">
        <v>135</v>
      </c>
      <c r="D24" s="2" t="s">
        <v>129</v>
      </c>
      <c r="E24" s="2" t="s">
        <v>130</v>
      </c>
      <c r="F24" s="2" t="s">
        <v>21</v>
      </c>
      <c r="G24" s="2" t="s">
        <v>42</v>
      </c>
      <c r="H24" s="2" t="s">
        <v>131</v>
      </c>
      <c r="I24" s="2" t="s">
        <v>24</v>
      </c>
    </row>
    <row r="25" customFormat="false" ht="15" hidden="false" customHeight="false" outlineLevel="0" collapsed="false">
      <c r="A25" s="2" t="s">
        <v>136</v>
      </c>
      <c r="B25" s="2" t="s">
        <v>137</v>
      </c>
      <c r="C25" s="2" t="s">
        <v>138</v>
      </c>
      <c r="D25" s="2" t="s">
        <v>129</v>
      </c>
      <c r="E25" s="2" t="s">
        <v>130</v>
      </c>
      <c r="F25" s="2" t="s">
        <v>14</v>
      </c>
      <c r="G25" s="2" t="s">
        <v>47</v>
      </c>
      <c r="H25" s="2" t="s">
        <v>131</v>
      </c>
      <c r="I25" s="2" t="s">
        <v>139</v>
      </c>
    </row>
    <row r="26" customFormat="false" ht="15" hidden="false" customHeight="false" outlineLevel="0" collapsed="false">
      <c r="A26" s="2" t="s">
        <v>140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14</v>
      </c>
      <c r="G26" s="2" t="s">
        <v>145</v>
      </c>
      <c r="H26" s="2" t="s">
        <v>60</v>
      </c>
      <c r="I26" s="2" t="s">
        <v>146</v>
      </c>
    </row>
    <row r="27" customFormat="false" ht="15" hidden="false" customHeight="false" outlineLevel="0" collapsed="false">
      <c r="A27" s="2" t="s">
        <v>147</v>
      </c>
      <c r="B27" s="2" t="s">
        <v>148</v>
      </c>
      <c r="C27" s="2" t="s">
        <v>149</v>
      </c>
      <c r="D27" s="2" t="s">
        <v>143</v>
      </c>
      <c r="E27" s="2" t="s">
        <v>144</v>
      </c>
      <c r="F27" s="2" t="s">
        <v>21</v>
      </c>
      <c r="G27" s="2" t="s">
        <v>42</v>
      </c>
      <c r="H27" s="2" t="s">
        <v>150</v>
      </c>
      <c r="I27" s="2" t="s">
        <v>24</v>
      </c>
    </row>
    <row r="28" customFormat="false" ht="15" hidden="false" customHeight="false" outlineLevel="0" collapsed="false">
      <c r="A28" s="2" t="s">
        <v>151</v>
      </c>
      <c r="B28" s="2" t="s">
        <v>152</v>
      </c>
      <c r="C28" s="2" t="s">
        <v>153</v>
      </c>
      <c r="D28" s="2" t="s">
        <v>143</v>
      </c>
      <c r="E28" s="2" t="s">
        <v>144</v>
      </c>
      <c r="F28" s="2" t="s">
        <v>14</v>
      </c>
      <c r="G28" s="2" t="s">
        <v>154</v>
      </c>
      <c r="H28" s="2" t="s">
        <v>150</v>
      </c>
      <c r="I28" s="2" t="s">
        <v>155</v>
      </c>
    </row>
    <row r="29" customFormat="false" ht="15" hidden="false" customHeight="false" outlineLevel="0" collapsed="false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14</v>
      </c>
      <c r="G29" s="2" t="s">
        <v>54</v>
      </c>
      <c r="H29" s="2" t="s">
        <v>161</v>
      </c>
      <c r="I29" s="2" t="s">
        <v>162</v>
      </c>
    </row>
    <row r="30" customFormat="false" ht="15" hidden="false" customHeight="false" outlineLevel="0" collapsed="false">
      <c r="A30" s="2" t="s">
        <v>163</v>
      </c>
      <c r="B30" s="2" t="s">
        <v>164</v>
      </c>
      <c r="C30" s="2" t="s">
        <v>165</v>
      </c>
      <c r="D30" s="2" t="s">
        <v>159</v>
      </c>
      <c r="E30" s="2" t="s">
        <v>160</v>
      </c>
      <c r="F30" s="2" t="s">
        <v>21</v>
      </c>
      <c r="G30" s="2" t="s">
        <v>22</v>
      </c>
      <c r="H30" s="2" t="s">
        <v>161</v>
      </c>
      <c r="I30" s="2" t="s">
        <v>24</v>
      </c>
    </row>
    <row r="31" customFormat="false" ht="15" hidden="false" customHeight="false" outlineLevel="0" collapsed="false">
      <c r="A31" s="2" t="s">
        <v>166</v>
      </c>
      <c r="B31" s="2" t="s">
        <v>167</v>
      </c>
      <c r="C31" s="2" t="s">
        <v>168</v>
      </c>
      <c r="D31" s="2" t="s">
        <v>159</v>
      </c>
      <c r="E31" s="2" t="s">
        <v>160</v>
      </c>
      <c r="F31" s="2" t="s">
        <v>14</v>
      </c>
      <c r="G31" s="2" t="s">
        <v>64</v>
      </c>
      <c r="H31" s="2" t="s">
        <v>161</v>
      </c>
      <c r="I31" s="2" t="s">
        <v>169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3" t="s">
        <v>170</v>
      </c>
    </row>
    <row r="3" customFormat="false" ht="15" hidden="false" customHeight="false" outlineLevel="0" collapsed="false">
      <c r="A3" s="4" t="s">
        <v>171</v>
      </c>
      <c r="B3" s="4" t="s">
        <v>172</v>
      </c>
    </row>
    <row r="4" customFormat="false" ht="15" hidden="false" customHeight="false" outlineLevel="0" collapsed="false">
      <c r="A4" s="5" t="s">
        <v>21</v>
      </c>
      <c r="B4" s="5" t="n">
        <f aca="false">COUNTIF(Acervo!F2:F31,"Digital")</f>
        <v>10</v>
      </c>
    </row>
    <row r="5" customFormat="false" ht="15" hidden="false" customHeight="false" outlineLevel="0" collapsed="false">
      <c r="A5" s="5" t="s">
        <v>14</v>
      </c>
      <c r="B5" s="5" t="n">
        <f aca="false">COUNTIF(Acervo!F2:F31,"Fisico")</f>
        <v>20</v>
      </c>
    </row>
    <row r="6" customFormat="false" ht="15" hidden="false" customHeight="false" outlineLevel="0" collapsed="false">
      <c r="A6" s="6" t="s">
        <v>173</v>
      </c>
      <c r="B6" s="6" t="n">
        <f aca="false">SUM(B4:B5)</f>
        <v>30</v>
      </c>
    </row>
    <row r="8" customFormat="false" ht="15" hidden="false" customHeight="false" outlineLevel="0" collapsed="false">
      <c r="A8" s="4" t="s">
        <v>174</v>
      </c>
      <c r="B8" s="4" t="s">
        <v>172</v>
      </c>
    </row>
    <row r="9" customFormat="false" ht="15" hidden="false" customHeight="false" outlineLevel="0" collapsed="false">
      <c r="A9" s="5" t="s">
        <v>175</v>
      </c>
      <c r="B9" s="5" t="n">
        <f aca="false">COUNTIF(Acervo!D2:D31,"000")</f>
        <v>3</v>
      </c>
    </row>
    <row r="10" customFormat="false" ht="15" hidden="false" customHeight="false" outlineLevel="0" collapsed="false">
      <c r="A10" s="5" t="s">
        <v>176</v>
      </c>
      <c r="B10" s="5" t="n">
        <f aca="false">COUNTIF(Acervo!D2:D31,"100")</f>
        <v>3</v>
      </c>
    </row>
    <row r="11" customFormat="false" ht="15" hidden="false" customHeight="false" outlineLevel="0" collapsed="false">
      <c r="A11" s="5" t="s">
        <v>177</v>
      </c>
      <c r="B11" s="5" t="n">
        <f aca="false">COUNTIF(Acervo!D2:D31,"200")</f>
        <v>3</v>
      </c>
    </row>
    <row r="12" customFormat="false" ht="15" hidden="false" customHeight="false" outlineLevel="0" collapsed="false">
      <c r="A12" s="5" t="s">
        <v>178</v>
      </c>
      <c r="B12" s="5" t="n">
        <f aca="false">COUNTIF(Acervo!D2:D31,"300")</f>
        <v>3</v>
      </c>
    </row>
    <row r="13" customFormat="false" ht="15" hidden="false" customHeight="false" outlineLevel="0" collapsed="false">
      <c r="A13" s="5" t="s">
        <v>179</v>
      </c>
      <c r="B13" s="5" t="n">
        <f aca="false">COUNTIF(Acervo!D2:D31,"400")</f>
        <v>3</v>
      </c>
    </row>
    <row r="14" customFormat="false" ht="15" hidden="false" customHeight="false" outlineLevel="0" collapsed="false">
      <c r="A14" s="5" t="s">
        <v>180</v>
      </c>
      <c r="B14" s="5" t="n">
        <f aca="false">COUNTIF(Acervo!D2:D31,"500")</f>
        <v>3</v>
      </c>
    </row>
    <row r="15" customFormat="false" ht="15" hidden="false" customHeight="false" outlineLevel="0" collapsed="false">
      <c r="A15" s="5" t="s">
        <v>181</v>
      </c>
      <c r="B15" s="5" t="n">
        <f aca="false">COUNTIF(Acervo!D2:D31,"600")</f>
        <v>3</v>
      </c>
    </row>
    <row r="16" customFormat="false" ht="15" hidden="false" customHeight="false" outlineLevel="0" collapsed="false">
      <c r="A16" s="5" t="s">
        <v>182</v>
      </c>
      <c r="B16" s="5" t="n">
        <f aca="false">COUNTIF(Acervo!D2:D31,"700")</f>
        <v>3</v>
      </c>
    </row>
    <row r="17" customFormat="false" ht="15" hidden="false" customHeight="false" outlineLevel="0" collapsed="false">
      <c r="A17" s="5" t="s">
        <v>183</v>
      </c>
      <c r="B17" s="5" t="n">
        <f aca="false">COUNTIF(Acervo!D2:D31,"800")</f>
        <v>3</v>
      </c>
    </row>
    <row r="18" customFormat="false" ht="15" hidden="false" customHeight="false" outlineLevel="0" collapsed="false">
      <c r="A18" s="5" t="s">
        <v>184</v>
      </c>
      <c r="B18" s="5" t="n">
        <f aca="false">COUNTIF(Acervo!D2:D31,"900")</f>
        <v>3</v>
      </c>
    </row>
    <row r="19" customFormat="false" ht="15" hidden="false" customHeight="false" outlineLevel="0" collapsed="false">
      <c r="A19" s="6" t="s">
        <v>173</v>
      </c>
      <c r="B19" s="6" t="n">
        <f aca="false">SUM(B9:B18)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2026-09-16T23:24:44Z</dcterms:created>
  <dc:creator>openpyxl</dc:creator>
  <dc:description/>
  <dc:language>en-US</dc:language>
  <cp:lastModifiedBy/>
  <dcterms:modified xsi:type="dcterms:W3CDTF">2026-09-16T23:24:44Z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